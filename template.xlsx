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gorilacapital-my.sharepoint.com/personal/plabra_gorilacapital_onmicrosoft_com/Documents/Documentos/Claude/2. Recurring Work/Portfolio Analysis/"/>
    </mc:Choice>
  </mc:AlternateContent>
  <xr:revisionPtr revIDLastSave="0" documentId="8_{9F1105E4-38CF-435B-BE9C-38D8878BDDA1}" xr6:coauthVersionLast="47" xr6:coauthVersionMax="47" xr10:uidLastSave="{00000000-0000-0000-0000-000000000000}"/>
  <bookViews>
    <workbookView xWindow="-120" yWindow="-120" windowWidth="29040" windowHeight="15720" xr2:uid="{FE4723A2-F09C-41DB-8827-17FE6912898E}"/>
  </bookViews>
  <sheets>
    <sheet name="Portfol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21" i="1" l="1"/>
  <c r="Q20" i="1"/>
  <c r="Q19" i="1"/>
  <c r="Q18" i="1"/>
  <c r="Q17" i="1"/>
  <c r="Q16" i="1"/>
  <c r="Q15" i="1"/>
  <c r="Q14" i="1"/>
  <c r="L14" i="1"/>
  <c r="J14" i="1"/>
  <c r="M21" i="1" l="1"/>
  <c r="M17" i="1"/>
  <c r="M15" i="1"/>
  <c r="M14" i="1"/>
  <c r="M19" i="1"/>
  <c r="M20" i="1"/>
  <c r="M16" i="1"/>
  <c r="M18" i="1"/>
  <c r="K18" i="1"/>
  <c r="K17" i="1"/>
  <c r="K15" i="1"/>
  <c r="K14" i="1"/>
  <c r="K20" i="1"/>
  <c r="K19" i="1"/>
  <c r="K16" i="1"/>
  <c r="K21" i="1"/>
</calcChain>
</file>

<file path=xl/sharedStrings.xml><?xml version="1.0" encoding="utf-8"?>
<sst xmlns="http://schemas.openxmlformats.org/spreadsheetml/2006/main" count="45" uniqueCount="37">
  <si>
    <t>Portfolio Analysis</t>
  </si>
  <si>
    <t>Currency</t>
  </si>
  <si>
    <t>MXN</t>
  </si>
  <si>
    <t>Exchange Rate</t>
  </si>
  <si>
    <t>MXN Spread</t>
  </si>
  <si>
    <t>Summary</t>
  </si>
  <si>
    <t>Buckets</t>
  </si>
  <si>
    <t>Borrowing Base</t>
  </si>
  <si>
    <t>min</t>
  </si>
  <si>
    <t>max</t>
  </si>
  <si>
    <t>Average</t>
  </si>
  <si>
    <t>OPB</t>
  </si>
  <si>
    <t>as % of OPB</t>
  </si>
  <si>
    <t xml:space="preserve"> # Credits</t>
  </si>
  <si>
    <t>as % of Credits</t>
  </si>
  <si>
    <t>Month of origination</t>
  </si>
  <si>
    <t>TOTAL</t>
  </si>
  <si>
    <t>Term (months)</t>
  </si>
  <si>
    <t>0 dpd</t>
  </si>
  <si>
    <t>Annualized Rate</t>
  </si>
  <si>
    <t>1-15 dpd</t>
  </si>
  <si>
    <t>Loan Amount</t>
  </si>
  <si>
    <t>16-30 dpd</t>
  </si>
  <si>
    <t>MOIC (finished)</t>
  </si>
  <si>
    <t>31-60 dpd</t>
  </si>
  <si>
    <t>MOIC (active)</t>
  </si>
  <si>
    <t>61-90 dpd</t>
  </si>
  <si>
    <t>91-120 dpd</t>
  </si>
  <si>
    <t>.+120 dpd</t>
  </si>
  <si>
    <t>#</t>
  </si>
  <si>
    <t>Amount</t>
  </si>
  <si>
    <t>%</t>
  </si>
  <si>
    <t>Historic Total Credits</t>
  </si>
  <si>
    <t>Active Total Credits</t>
  </si>
  <si>
    <t>Outstanding Balance</t>
  </si>
  <si>
    <t>Default Rate</t>
  </si>
  <si>
    <t>Deterioration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</si>
</sst>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[$-409]mmm\-yy;@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Helvetica"/>
    </font>
    <font>
      <sz val="8"/>
      <color rgb="FF0432FF"/>
      <name val="Helvetica"/>
    </font>
    <font>
      <sz val="8"/>
      <color theme="0"/>
      <name val="Helvetica"/>
    </font>
    <font>
      <b/>
      <sz val="8"/>
      <name val="Helvetica"/>
    </font>
  </fonts>
  <fills count="5">
    <fill>
      <patternFill patternType="none"/>
    </fill>
    <fill>
      <patternFill patternType="gray125"/>
    </fill>
    <fill>
      <patternFill patternType="solid">
        <fgColor theme="0" tint="-9.9978637043366805E-2"/>
        <bgColor indexed="64"/>
      </patternFill>
    </fill>
    <fill>
      <patternFill patternType="solid">
        <fgColor rgb="FFFCFFBD"/>
        <bgColor indexed="64"/>
      </patternFill>
    </fill>
    <fill>
      <patternFill patternType="solid">
        <fgColor theme="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373738"/>
      </left>
      <right style="thin">
        <color rgb="FF373738"/>
      </right>
      <top style="thin">
        <color rgb="FF373738"/>
      </top>
      <bottom style="thin">
        <color rgb="FF373738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373738"/>
      </left>
      <right/>
      <top style="thin">
        <color rgb="FF373738"/>
      </top>
      <bottom/>
      <diagonal/>
    </border>
    <border>
      <left/>
      <right/>
      <top style="thin">
        <color rgb="FF373738"/>
      </top>
      <bottom/>
      <diagonal/>
    </border>
    <border>
      <left/>
      <right style="thin">
        <color rgb="FF373738"/>
      </right>
      <top style="thin">
        <color rgb="FF373738"/>
      </top>
      <bottom/>
      <diagonal/>
    </border>
    <border>
      <left style="thin">
        <color rgb="FF373738"/>
      </left>
      <right/>
      <top/>
      <bottom/>
      <diagonal/>
    </border>
    <border>
      <left/>
      <right style="thin">
        <color rgb="FF373738"/>
      </right>
      <top/>
      <bottom/>
      <diagonal/>
    </border>
    <border>
      <left style="thin">
        <color rgb="FF373738"/>
      </left>
      <right style="thin">
        <color rgb="FF373738"/>
      </right>
      <top/>
      <bottom style="thin">
        <color rgb="FF373738"/>
      </bottom>
      <diagonal/>
    </border>
    <border>
      <left style="thin">
        <color rgb="FF373738"/>
      </left>
      <right/>
      <top/>
      <bottom style="thin">
        <color rgb="FF373738"/>
      </bottom>
      <diagonal/>
    </border>
    <border>
      <left/>
      <right/>
      <top/>
      <bottom style="thin">
        <color rgb="FF373738"/>
      </bottom>
      <diagonal/>
    </border>
    <border>
      <left/>
      <right style="thin">
        <color rgb="FF373738"/>
      </right>
      <top/>
      <bottom style="thin">
        <color rgb="FF373738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2" fillId="2" borderId="0" xfId="0" applyFont="1" applyFill="1"/>
    <xf numFmtId="0" fontId="2" fillId="0" borderId="0" xfId="0" applyFont="1"/>
    <xf numFmtId="0" fontId="2" fillId="0" borderId="1" xfId="0" applyFont="1" applyBorder="1"/>
    <xf numFmtId="0" fontId="3" fillId="3" borderId="2" xfId="0" applyFont="1" applyFill="1" applyBorder="1" applyAlignment="1">
      <alignment horizontal="right"/>
    </xf>
    <xf numFmtId="0" fontId="2" fillId="0" borderId="3" xfId="0" applyFont="1" applyBorder="1"/>
    <xf numFmtId="44" fontId="3" fillId="3" borderId="2" xfId="1" applyFont="1" applyFill="1" applyBorder="1" applyAlignment="1">
      <alignment horizontal="right"/>
    </xf>
    <xf numFmtId="0" fontId="2" fillId="0" borderId="4" xfId="0" applyFont="1" applyBorder="1"/>
    <xf numFmtId="9" fontId="3" fillId="3" borderId="2" xfId="2" applyFont="1" applyFill="1" applyBorder="1" applyAlignment="1">
      <alignment horizontal="right"/>
    </xf>
    <xf numFmtId="0" fontId="2" fillId="0" borderId="5" xfId="0" applyFont="1" applyBorder="1"/>
    <xf numFmtId="0" fontId="4" fillId="4" borderId="0" xfId="0" applyFont="1" applyFill="1"/>
    <xf numFmtId="0" fontId="4" fillId="4" borderId="0" xfId="0" applyFont="1" applyFill="1" applyAlignment="1">
      <alignment horizontal="center"/>
    </xf>
    <xf numFmtId="0" fontId="4" fillId="4" borderId="6" xfId="0" applyFont="1" applyFill="1" applyBorder="1"/>
    <xf numFmtId="0" fontId="4" fillId="4" borderId="7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2" fillId="4" borderId="6" xfId="0" applyFont="1" applyFill="1" applyBorder="1"/>
    <xf numFmtId="0" fontId="2" fillId="4" borderId="7" xfId="0" applyFont="1" applyFill="1" applyBorder="1"/>
    <xf numFmtId="0" fontId="2" fillId="4" borderId="8" xfId="0" applyFont="1" applyFill="1" applyBorder="1"/>
    <xf numFmtId="164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5" fillId="2" borderId="9" xfId="0" applyFont="1" applyFill="1" applyBorder="1"/>
    <xf numFmtId="44" fontId="5" fillId="2" borderId="0" xfId="1" applyFont="1" applyFill="1" applyBorder="1" applyAlignment="1">
      <alignment horizontal="center"/>
    </xf>
    <xf numFmtId="9" fontId="5" fillId="2" borderId="0" xfId="2" applyFont="1" applyFill="1" applyBorder="1" applyAlignment="1">
      <alignment horizontal="center"/>
    </xf>
    <xf numFmtId="1" fontId="5" fillId="2" borderId="0" xfId="0" applyNumberFormat="1" applyFont="1" applyFill="1" applyAlignment="1">
      <alignment horizontal="center"/>
    </xf>
    <xf numFmtId="9" fontId="5" fillId="2" borderId="10" xfId="2" applyFont="1" applyFill="1" applyBorder="1" applyAlignment="1">
      <alignment horizontal="center"/>
    </xf>
    <xf numFmtId="0" fontId="5" fillId="2" borderId="2" xfId="0" applyFont="1" applyFill="1" applyBorder="1"/>
    <xf numFmtId="44" fontId="5" fillId="2" borderId="2" xfId="0" applyNumberFormat="1" applyFont="1" applyFill="1" applyBorder="1"/>
    <xf numFmtId="0" fontId="2" fillId="0" borderId="0" xfId="0" applyFont="1" applyAlignment="1">
      <alignment horizontal="center"/>
    </xf>
    <xf numFmtId="0" fontId="2" fillId="0" borderId="9" xfId="0" applyFont="1" applyBorder="1" applyAlignment="1">
      <alignment horizontal="left"/>
    </xf>
    <xf numFmtId="44" fontId="2" fillId="0" borderId="0" xfId="1" applyFont="1" applyFill="1" applyBorder="1" applyAlignment="1">
      <alignment horizontal="center"/>
    </xf>
    <xf numFmtId="9" fontId="2" fillId="0" borderId="0" xfId="2" applyFont="1" applyFill="1" applyBorder="1" applyAlignment="1">
      <alignment horizontal="center"/>
    </xf>
    <xf numFmtId="1" fontId="2" fillId="0" borderId="0" xfId="0" applyNumberFormat="1" applyFont="1" applyAlignment="1">
      <alignment horizontal="center"/>
    </xf>
    <xf numFmtId="9" fontId="2" fillId="0" borderId="10" xfId="2" applyFont="1" applyFill="1" applyBorder="1" applyAlignment="1">
      <alignment horizontal="center"/>
    </xf>
    <xf numFmtId="0" fontId="2" fillId="0" borderId="9" xfId="0" applyFont="1" applyBorder="1"/>
    <xf numFmtId="9" fontId="3" fillId="3" borderId="11" xfId="0" applyNumberFormat="1" applyFont="1" applyFill="1" applyBorder="1" applyAlignment="1">
      <alignment horizontal="center"/>
    </xf>
    <xf numFmtId="44" fontId="2" fillId="0" borderId="10" xfId="0" applyNumberFormat="1" applyFont="1" applyBorder="1"/>
    <xf numFmtId="9" fontId="2" fillId="2" borderId="0" xfId="2" applyFont="1" applyFill="1" applyAlignment="1">
      <alignment horizontal="center"/>
    </xf>
    <xf numFmtId="9" fontId="3" fillId="3" borderId="2" xfId="0" applyNumberFormat="1" applyFont="1" applyFill="1" applyBorder="1" applyAlignment="1">
      <alignment horizontal="center"/>
    </xf>
    <xf numFmtId="44" fontId="2" fillId="0" borderId="0" xfId="1" applyFont="1" applyFill="1" applyAlignment="1">
      <alignment horizontal="center"/>
    </xf>
    <xf numFmtId="0" fontId="2" fillId="0" borderId="12" xfId="0" applyFont="1" applyBorder="1" applyAlignment="1">
      <alignment horizontal="left"/>
    </xf>
    <xf numFmtId="44" fontId="2" fillId="0" borderId="13" xfId="1" applyFont="1" applyFill="1" applyBorder="1" applyAlignment="1">
      <alignment horizontal="center"/>
    </xf>
    <xf numFmtId="9" fontId="2" fillId="0" borderId="13" xfId="2" applyFont="1" applyFill="1" applyBorder="1" applyAlignment="1">
      <alignment horizontal="center"/>
    </xf>
    <xf numFmtId="1" fontId="2" fillId="0" borderId="13" xfId="0" applyNumberFormat="1" applyFont="1" applyBorder="1" applyAlignment="1">
      <alignment horizontal="center"/>
    </xf>
    <xf numFmtId="9" fontId="2" fillId="0" borderId="14" xfId="2" applyFont="1" applyFill="1" applyBorder="1" applyAlignment="1">
      <alignment horizontal="center"/>
    </xf>
    <xf numFmtId="0" fontId="2" fillId="0" borderId="12" xfId="0" applyFont="1" applyBorder="1"/>
    <xf numFmtId="44" fontId="2" fillId="0" borderId="14" xfId="0" applyNumberFormat="1" applyFont="1" applyBorder="1"/>
    <xf numFmtId="44" fontId="2" fillId="2" borderId="0" xfId="1" applyFont="1" applyFill="1" applyAlignment="1">
      <alignment horizontal="center"/>
    </xf>
    <xf numFmtId="9" fontId="2" fillId="2" borderId="0" xfId="0" applyNumberFormat="1" applyFont="1" applyFill="1" applyAlignment="1">
      <alignment horizontal="center"/>
    </xf>
    <xf numFmtId="9" fontId="2" fillId="0" borderId="0" xfId="2" applyFont="1" applyFill="1" applyAlignment="1">
      <alignment horizontal="center"/>
    </xf>
    <xf numFmtId="44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44" fontId="2" fillId="2" borderId="0" xfId="0" applyNumberFormat="1" applyFont="1" applyFill="1" applyAlignment="1">
      <alignment horizontal="center"/>
    </xf>
    <xf numFmtId="0" fontId="5" fillId="0" borderId="0" xfId="0" applyFont="1"/>
    <xf numFmtId="0" fontId="5" fillId="0" borderId="5" xfId="0" applyFont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184747</xdr:colOff>
      <xdr:row>1</xdr:row>
      <xdr:rowOff>63502</xdr:rowOff>
    </xdr:from>
    <xdr:to>
      <xdr:col>3</xdr:col>
      <xdr:colOff>78441</xdr:colOff>
      <xdr:row>8</xdr:row>
      <xdr:rowOff>101864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719101-7D31-491C-8C3A-D58F0DC0C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4041" y="209178"/>
          <a:ext cx="991871" cy="10580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3">
      <a:dk1>
        <a:srgbClr val="AFEAC1"/>
      </a:dk1>
      <a:lt1>
        <a:srgbClr val="F6F6F6"/>
      </a:lt1>
      <a:dk2>
        <a:srgbClr val="0C473C"/>
      </a:dk2>
      <a:lt2>
        <a:srgbClr val="CFCFCF"/>
      </a:lt2>
      <a:accent1>
        <a:srgbClr val="1F1F1F"/>
      </a:accent1>
      <a:accent2>
        <a:srgbClr val="6D6F6F"/>
      </a:accent2>
      <a:accent3>
        <a:srgbClr val="D1C6BF"/>
      </a:accent3>
      <a:accent4>
        <a:srgbClr val="4A655C"/>
      </a:accent4>
      <a:accent5>
        <a:srgbClr val="A5D7B9"/>
      </a:accent5>
      <a:accent6>
        <a:srgbClr val="7E7E7E"/>
      </a:accent6>
      <a:hlink>
        <a:srgbClr val="F6EFEE"/>
      </a:hlink>
      <a:folHlink>
        <a:srgbClr val="E7EBEE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BFB14-984A-49BB-A557-4A98F8C08937}">
  <sheetPr>
    <tabColor theme="3"/>
  </sheetPr>
  <dimension ref="A1:Q27"/>
  <sheetViews>
    <sheetView showGridLines="0" tabSelected="1" zoomScale="85" zoomScaleNormal="85" workbookViewId="0"/>
  </sheetViews>
  <sheetFormatPr defaultColWidth="10.875" defaultRowHeight="11.25" x14ac:dyDescent="0.2"/>
  <cols>
    <col min="1" max="1" width="2.375" style="1" customWidth="1"/>
    <col min="2" max="2" width="2.5" style="1" customWidth="1"/>
    <col min="3" max="3" width="11.875" style="2" customWidth="1"/>
    <col min="4" max="4" width="16.125" style="2" customWidth="1"/>
    <col min="5" max="5" width="13.375" style="2" customWidth="1"/>
    <col min="6" max="6" width="12.875" style="2" customWidth="1"/>
    <col min="7" max="9" width="10.875" style="2"/>
    <col min="10" max="10" width="13" style="2" bestFit="1" customWidth="1"/>
    <col min="11" max="16384" width="10.875" style="2"/>
  </cols>
  <sheetData>
    <row r="1" spans="4:17" s="1" customFormat="1" x14ac:dyDescent="0.2"/>
    <row r="4" spans="4:17" x14ac:dyDescent="0.2">
      <c r="D4" s="52" t="s">
        <v>0</v>
      </c>
    </row>
    <row r="5" spans="4:17" x14ac:dyDescent="0.2">
      <c r="D5" s="3" t="s">
        <v>1</v>
      </c>
      <c r="E5" s="4" t="s">
        <v>2</v>
      </c>
    </row>
    <row r="6" spans="4:17" x14ac:dyDescent="0.2">
      <c r="D6" s="5" t="s">
        <v>3</v>
      </c>
      <c r="E6" s="6">
        <v>1</v>
      </c>
    </row>
    <row r="7" spans="4:17" x14ac:dyDescent="0.2">
      <c r="D7" s="7" t="s">
        <v>4</v>
      </c>
      <c r="E7" s="8">
        <v>0</v>
      </c>
    </row>
    <row r="11" spans="4:17" ht="12" thickBot="1" x14ac:dyDescent="0.25">
      <c r="D11" s="53" t="s">
        <v>5</v>
      </c>
      <c r="E11" s="9"/>
      <c r="F11" s="9"/>
      <c r="G11" s="9"/>
      <c r="I11" s="53" t="s">
        <v>6</v>
      </c>
      <c r="J11" s="9"/>
      <c r="K11" s="9"/>
      <c r="L11" s="9"/>
      <c r="M11" s="9"/>
      <c r="O11" s="53" t="s">
        <v>7</v>
      </c>
      <c r="P11" s="9"/>
      <c r="Q11" s="9"/>
    </row>
    <row r="13" spans="4:17" x14ac:dyDescent="0.2">
      <c r="D13" s="10"/>
      <c r="E13" s="11" t="s">
        <v>8</v>
      </c>
      <c r="F13" s="11" t="s">
        <v>9</v>
      </c>
      <c r="G13" s="11" t="s">
        <v>10</v>
      </c>
      <c r="I13" s="12"/>
      <c r="J13" s="13" t="s">
        <v>11</v>
      </c>
      <c r="K13" s="13" t="s">
        <v>12</v>
      </c>
      <c r="L13" s="13" t="s">
        <v>13</v>
      </c>
      <c r="M13" s="14" t="s">
        <v>14</v>
      </c>
      <c r="O13" s="15"/>
      <c r="P13" s="16"/>
      <c r="Q13" s="17"/>
    </row>
    <row r="14" spans="4:17" x14ac:dyDescent="0.2">
      <c r="D14" s="1" t="s">
        <v>15</v>
      </c>
      <c r="E14" s="18"/>
      <c r="F14" s="18"/>
      <c r="G14" s="19"/>
      <c r="I14" s="20" t="s">
        <v>16</v>
      </c>
      <c r="J14" s="21">
        <f>SUM(J15:J21)</f>
        <v>0</v>
      </c>
      <c r="K14" s="22">
        <f t="shared" ref="K14:K21" si="0">IFERROR(J14/$J$14,0)</f>
        <v>0</v>
      </c>
      <c r="L14" s="23">
        <f>SUM(L15:L21)</f>
        <v>0</v>
      </c>
      <c r="M14" s="24">
        <f t="shared" ref="M14:M21" si="1">IFERROR(L14/$L$14,0)</f>
        <v>0</v>
      </c>
      <c r="O14" s="25" t="s">
        <v>16</v>
      </c>
      <c r="P14" s="25"/>
      <c r="Q14" s="26">
        <f>SUM(Q15:Q21)</f>
        <v>0</v>
      </c>
    </row>
    <row r="15" spans="4:17" x14ac:dyDescent="0.2">
      <c r="D15" s="2" t="s">
        <v>17</v>
      </c>
      <c r="E15" s="27"/>
      <c r="F15" s="27"/>
      <c r="G15" s="27"/>
      <c r="I15" s="28" t="s">
        <v>18</v>
      </c>
      <c r="J15" s="29"/>
      <c r="K15" s="30">
        <f t="shared" si="0"/>
        <v>0</v>
      </c>
      <c r="L15" s="31"/>
      <c r="M15" s="32">
        <f t="shared" si="1"/>
        <v>0</v>
      </c>
      <c r="O15" s="33" t="s">
        <v>18</v>
      </c>
      <c r="P15" s="34">
        <v>1</v>
      </c>
      <c r="Q15" s="35">
        <f t="shared" ref="Q15:Q21" si="2">P15*J15</f>
        <v>0</v>
      </c>
    </row>
    <row r="16" spans="4:17" x14ac:dyDescent="0.2">
      <c r="D16" s="1" t="s">
        <v>19</v>
      </c>
      <c r="E16" s="36"/>
      <c r="F16" s="36"/>
      <c r="G16" s="36"/>
      <c r="I16" s="28" t="s">
        <v>20</v>
      </c>
      <c r="J16" s="29"/>
      <c r="K16" s="30">
        <f t="shared" si="0"/>
        <v>0</v>
      </c>
      <c r="L16" s="31"/>
      <c r="M16" s="32">
        <f t="shared" si="1"/>
        <v>0</v>
      </c>
      <c r="O16" s="33" t="s">
        <v>20</v>
      </c>
      <c r="P16" s="37">
        <v>1</v>
      </c>
      <c r="Q16" s="35">
        <f t="shared" si="2"/>
        <v>0</v>
      </c>
    </row>
    <row r="17" spans="4:17" x14ac:dyDescent="0.2">
      <c r="D17" s="2" t="s">
        <v>21</v>
      </c>
      <c r="E17" s="38"/>
      <c r="F17" s="38"/>
      <c r="G17" s="38"/>
      <c r="I17" s="28" t="s">
        <v>22</v>
      </c>
      <c r="J17" s="29"/>
      <c r="K17" s="30">
        <f t="shared" si="0"/>
        <v>0</v>
      </c>
      <c r="L17" s="31"/>
      <c r="M17" s="32">
        <f t="shared" si="1"/>
        <v>0</v>
      </c>
      <c r="O17" s="33" t="s">
        <v>22</v>
      </c>
      <c r="P17" s="37">
        <v>1</v>
      </c>
      <c r="Q17" s="35">
        <f t="shared" si="2"/>
        <v>0</v>
      </c>
    </row>
    <row r="18" spans="4:17" x14ac:dyDescent="0.2">
      <c r="D18" s="1" t="s">
        <v>23</v>
      </c>
      <c r="E18" s="19"/>
      <c r="F18" s="19"/>
      <c r="G18" s="19"/>
      <c r="I18" s="28" t="s">
        <v>24</v>
      </c>
      <c r="J18" s="29"/>
      <c r="K18" s="30">
        <f t="shared" si="0"/>
        <v>0</v>
      </c>
      <c r="L18" s="31"/>
      <c r="M18" s="32">
        <f t="shared" si="1"/>
        <v>0</v>
      </c>
      <c r="O18" s="33" t="s">
        <v>24</v>
      </c>
      <c r="P18" s="37">
        <v>0.65</v>
      </c>
      <c r="Q18" s="35">
        <f t="shared" si="2"/>
        <v>0</v>
      </c>
    </row>
    <row r="19" spans="4:17" x14ac:dyDescent="0.2">
      <c r="D19" s="2" t="s">
        <v>25</v>
      </c>
      <c r="I19" s="28" t="s">
        <v>26</v>
      </c>
      <c r="J19" s="29"/>
      <c r="K19" s="30">
        <f t="shared" si="0"/>
        <v>0</v>
      </c>
      <c r="L19" s="31"/>
      <c r="M19" s="32">
        <f t="shared" si="1"/>
        <v>0</v>
      </c>
      <c r="O19" s="33" t="s">
        <v>26</v>
      </c>
      <c r="P19" s="37">
        <v>0</v>
      </c>
      <c r="Q19" s="35">
        <f t="shared" si="2"/>
        <v>0</v>
      </c>
    </row>
    <row r="20" spans="4:17" x14ac:dyDescent="0.2">
      <c r="I20" s="28" t="s">
        <v>27</v>
      </c>
      <c r="J20" s="29"/>
      <c r="K20" s="30">
        <f t="shared" si="0"/>
        <v>0</v>
      </c>
      <c r="L20" s="31"/>
      <c r="M20" s="32">
        <f t="shared" si="1"/>
        <v>0</v>
      </c>
      <c r="O20" s="33" t="s">
        <v>27</v>
      </c>
      <c r="P20" s="37">
        <v>0</v>
      </c>
      <c r="Q20" s="35">
        <f t="shared" si="2"/>
        <v>0</v>
      </c>
    </row>
    <row r="21" spans="4:17" x14ac:dyDescent="0.2">
      <c r="I21" s="39" t="s">
        <v>28</v>
      </c>
      <c r="J21" s="40"/>
      <c r="K21" s="41">
        <f t="shared" si="0"/>
        <v>0</v>
      </c>
      <c r="L21" s="42"/>
      <c r="M21" s="43">
        <f t="shared" si="1"/>
        <v>0</v>
      </c>
      <c r="O21" s="44" t="s">
        <v>28</v>
      </c>
      <c r="P21" s="37">
        <v>0</v>
      </c>
      <c r="Q21" s="45">
        <f t="shared" si="2"/>
        <v>0</v>
      </c>
    </row>
    <row r="22" spans="4:17" x14ac:dyDescent="0.2">
      <c r="D22" s="10"/>
      <c r="E22" s="11" t="s">
        <v>29</v>
      </c>
      <c r="F22" s="11" t="s">
        <v>30</v>
      </c>
      <c r="G22" s="11" t="s">
        <v>31</v>
      </c>
    </row>
    <row r="23" spans="4:17" x14ac:dyDescent="0.2">
      <c r="D23" s="1" t="s">
        <v>32</v>
      </c>
      <c r="E23" s="19"/>
      <c r="F23" s="46"/>
      <c r="G23" s="47"/>
    </row>
    <row r="24" spans="4:17" x14ac:dyDescent="0.2">
      <c r="D24" s="2" t="s">
        <v>33</v>
      </c>
      <c r="E24" s="27"/>
      <c r="F24" s="38"/>
      <c r="G24" s="48"/>
    </row>
    <row r="25" spans="4:17" x14ac:dyDescent="0.2">
      <c r="D25" s="1" t="s">
        <v>34</v>
      </c>
      <c r="E25" s="19"/>
      <c r="F25" s="46"/>
      <c r="G25" s="36"/>
    </row>
    <row r="26" spans="4:17" x14ac:dyDescent="0.2">
      <c r="D26" s="2" t="s">
        <v>35</v>
      </c>
      <c r="E26" s="27"/>
      <c r="F26" s="49"/>
      <c r="G26" s="50"/>
    </row>
    <row r="27" spans="4:17" x14ac:dyDescent="0.2">
      <c r="D27" s="1" t="s">
        <v>36</v>
      </c>
      <c r="E27" s="19"/>
      <c r="F27" s="51"/>
      <c r="G27" s="3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David Labra Pulido</dc:creator>
  <cp:lastModifiedBy>Pablo David Labra Pulido</cp:lastModifiedBy>
  <dcterms:created xsi:type="dcterms:W3CDTF">2026-09-18T20:09:56Z</dcterms:created>
  <dcterms:modified xsi:type="dcterms:W3CDTF">2026-09-18T20:11:35Z</dcterms:modified>
</cp:coreProperties>
</file>